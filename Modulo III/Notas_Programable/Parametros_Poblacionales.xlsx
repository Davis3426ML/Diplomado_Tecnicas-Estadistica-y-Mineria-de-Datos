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Biblioteca\Descargas\Diplomado_1\Modulos\3_Regresion_Series Tiempo (LEONARDO ROMÁN)\Notas_Programable\"/>
    </mc:Choice>
  </mc:AlternateContent>
  <xr:revisionPtr revIDLastSave="0" documentId="13_ncr:1_{3D07740F-D0EC-465C-9E97-D17E627A0FE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1" r:id="rId1"/>
    <sheet name="Summery" sheetId="2" r:id="rId2"/>
    <sheet name="Grafica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<sst xmlns="http://schemas.openxmlformats.org/spreadsheetml/2006/main" count="39" uniqueCount="37">
  <si>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IPC</t>
  </si>
  <si>
    <t>PIB</t>
  </si>
  <si>
    <t>EV</t>
  </si>
  <si>
    <t>año</t>
  </si>
  <si>
    <t>Población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</si>
  <si>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</si>
  <si>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</si>
  <si>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</si>
  <si>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</si>
  <si>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</si>
  <si>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</si>
  <si>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</si>
  <si>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</si>
  <si>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</si>
  <si>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</si>
  <si>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</si>
  <si>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</si>
  <si>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</si>
  <si>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</si>
  <si>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</si>
  <si>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</si>
  <si>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</si>
  <si>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</si>
  <si>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</si>
  <si>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</si>
  <si>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</si>
  <si>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</si>
  <si>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</si>
  <si>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</si>
  <si>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</si>
  <si>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Análisis de los residuales</t>
  </si>
  <si>
    <t>Observación</t>
  </si>
  <si>
    <t>Pronóstico para Y</t>
  </si>
  <si>
    <t>Residuos estándares</t>
  </si>
  <si>
    <t>Resultados de datos de probabilidad</t>
  </si>
  <si>
    <t>Percentil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</si>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</sst>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3" xfId="0" applyBorder="1"/>
    <xf numFmtId="0" fontId="0" fillId="2" borderId="0" xfId="0" applyFill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Variable X 1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Datos!$B$2:$B$11</c:f>
              <c:numCache>
                <c:formatCode>General</c:formatCode>
                <c:ptCount val="10"/>
                <c:pt idx="0">
                  <c:v>10860</c:v>
                </c:pt>
                <c:pt idx="1">
                  <c:v>11750</c:v>
                </c:pt>
                <c:pt idx="2">
                  <c:v>12840</c:v>
                </c:pt>
                <c:pt idx="3">
                  <c:v>13330</c:v>
                </c:pt>
                <c:pt idx="4">
                  <c:v>14300</c:v>
                </c:pt>
                <c:pt idx="5">
                  <c:v>13700</c:v>
                </c:pt>
                <c:pt idx="6">
                  <c:v>14500</c:v>
                </c:pt>
                <c:pt idx="7">
                  <c:v>15650</c:v>
                </c:pt>
                <c:pt idx="8">
                  <c:v>15910</c:v>
                </c:pt>
                <c:pt idx="9">
                  <c:v>16110</c:v>
                </c:pt>
              </c:numCache>
            </c:numRef>
          </c:xVal>
          <c:yVal>
            <c:numRef>
              <c:f>Summery!$C$25:$C$34</c:f>
              <c:numCache>
                <c:formatCode>General</c:formatCode>
                <c:ptCount val="10"/>
                <c:pt idx="0">
                  <c:v>6.4965696963838582E-2</c:v>
                </c:pt>
                <c:pt idx="1">
                  <c:v>-1.1406451404454288E-2</c:v>
                </c:pt>
                <c:pt idx="2">
                  <c:v>-0.16112065558586153</c:v>
                </c:pt>
                <c:pt idx="3">
                  <c:v>-0.10080869232795919</c:v>
                </c:pt>
                <c:pt idx="4">
                  <c:v>-0.20651766302150065</c:v>
                </c:pt>
                <c:pt idx="5">
                  <c:v>0.2435085044177896</c:v>
                </c:pt>
                <c:pt idx="6">
                  <c:v>0.18014028116539293</c:v>
                </c:pt>
                <c:pt idx="7">
                  <c:v>-2.1576539759948332E-2</c:v>
                </c:pt>
                <c:pt idx="8">
                  <c:v>0.1130787876830226</c:v>
                </c:pt>
                <c:pt idx="9">
                  <c:v>-0.10026326813007813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CA-4618-8AAD-412AD1219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555712"/>
        <c:axId val="437557152"/>
      </c:scatterChart>
      <c:valAx>
        <c:axId val="437555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7557152"/>
        <c:crosses val="autoZero"/>
        <c:crossBetween val="midCat"/>
      </c:valAx>
      <c:valAx>
        <c:axId val="4375571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75557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Variable X 1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Datos!$B$2:$B$11</c:f>
              <c:numCache>
                <c:formatCode>General</c:formatCode>
                <c:ptCount val="10"/>
                <c:pt idx="0">
                  <c:v>10860</c:v>
                </c:pt>
                <c:pt idx="1">
                  <c:v>11750</c:v>
                </c:pt>
                <c:pt idx="2">
                  <c:v>12840</c:v>
                </c:pt>
                <c:pt idx="3">
                  <c:v>13330</c:v>
                </c:pt>
                <c:pt idx="4">
                  <c:v>14300</c:v>
                </c:pt>
                <c:pt idx="5">
                  <c:v>13700</c:v>
                </c:pt>
                <c:pt idx="6">
                  <c:v>14500</c:v>
                </c:pt>
                <c:pt idx="7">
                  <c:v>15650</c:v>
                </c:pt>
                <c:pt idx="8">
                  <c:v>15910</c:v>
                </c:pt>
                <c:pt idx="9">
                  <c:v>16110</c:v>
                </c:pt>
              </c:numCache>
            </c:numRef>
          </c:xVal>
          <c:yVal>
            <c:numRef>
              <c:f>Datos!$E$2:$E$11</c:f>
              <c:numCache>
                <c:formatCode>General</c:formatCode>
                <c:ptCount val="10"/>
                <c:pt idx="0">
                  <c:v>75.239999999999995</c:v>
                </c:pt>
                <c:pt idx="1">
                  <c:v>75.489999999999995</c:v>
                </c:pt>
                <c:pt idx="2">
                  <c:v>75.739999999999995</c:v>
                </c:pt>
                <c:pt idx="3">
                  <c:v>75.98</c:v>
                </c:pt>
                <c:pt idx="4">
                  <c:v>76.23</c:v>
                </c:pt>
                <c:pt idx="5">
                  <c:v>76.459999999999994</c:v>
                </c:pt>
                <c:pt idx="6">
                  <c:v>76.69</c:v>
                </c:pt>
                <c:pt idx="7">
                  <c:v>76.91</c:v>
                </c:pt>
                <c:pt idx="8">
                  <c:v>77.14</c:v>
                </c:pt>
                <c:pt idx="9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F-45CD-9DB2-A90D3C9AACF9}"/>
            </c:ext>
          </c:extLst>
        </c:ser>
        <c:ser>
          <c:idx val="1"/>
          <c:order val="1"/>
          <c:tx>
            <c:v>Pronóstico para Y</c:v>
          </c:tx>
          <c:spPr>
            <a:ln w="38100">
              <a:noFill/>
            </a:ln>
          </c:spPr>
          <c:xVal>
            <c:numRef>
              <c:f>Datos!$B$2:$B$11</c:f>
              <c:numCache>
                <c:formatCode>General</c:formatCode>
                <c:ptCount val="10"/>
                <c:pt idx="0">
                  <c:v>10860</c:v>
                </c:pt>
                <c:pt idx="1">
                  <c:v>11750</c:v>
                </c:pt>
                <c:pt idx="2">
                  <c:v>12840</c:v>
                </c:pt>
                <c:pt idx="3">
                  <c:v>13330</c:v>
                </c:pt>
                <c:pt idx="4">
                  <c:v>14300</c:v>
                </c:pt>
                <c:pt idx="5">
                  <c:v>13700</c:v>
                </c:pt>
                <c:pt idx="6">
                  <c:v>14500</c:v>
                </c:pt>
                <c:pt idx="7">
                  <c:v>15650</c:v>
                </c:pt>
                <c:pt idx="8">
                  <c:v>15910</c:v>
                </c:pt>
                <c:pt idx="9">
                  <c:v>16110</c:v>
                </c:pt>
              </c:numCache>
            </c:numRef>
          </c:xVal>
          <c:yVal>
            <c:numRef>
              <c:f>Summery!$B$25:$B$34</c:f>
              <c:numCache>
                <c:formatCode>General</c:formatCode>
                <c:ptCount val="10"/>
                <c:pt idx="0">
                  <c:v>75.175034303036156</c:v>
                </c:pt>
                <c:pt idx="1">
                  <c:v>75.501406451404449</c:v>
                </c:pt>
                <c:pt idx="2">
                  <c:v>75.901120655585856</c:v>
                </c:pt>
                <c:pt idx="3">
                  <c:v>76.080808692327963</c:v>
                </c:pt>
                <c:pt idx="4">
                  <c:v>76.436517663021505</c:v>
                </c:pt>
                <c:pt idx="5">
                  <c:v>76.216491495582204</c:v>
                </c:pt>
                <c:pt idx="6">
                  <c:v>76.509859718834605</c:v>
                </c:pt>
                <c:pt idx="7">
                  <c:v>76.931576539759945</c:v>
                </c:pt>
                <c:pt idx="8">
                  <c:v>77.026921212316978</c:v>
                </c:pt>
                <c:pt idx="9">
                  <c:v>77.100263268130078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9F-45CD-9DB2-A90D3C9AA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815040"/>
        <c:axId val="670826032"/>
      </c:scatterChart>
      <c:valAx>
        <c:axId val="11081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0826032"/>
        <c:crosses val="autoZero"/>
        <c:crossBetween val="midCat"/>
      </c:valAx>
      <c:valAx>
        <c:axId val="670826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8150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Summery!$F$25:$F$34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Summery!$G$25:$G$34</c:f>
              <c:numCache>
                <c:formatCode>General</c:formatCode>
                <c:ptCount val="10"/>
                <c:pt idx="0">
                  <c:v>75.239999999999995</c:v>
                </c:pt>
                <c:pt idx="1">
                  <c:v>75.489999999999995</c:v>
                </c:pt>
                <c:pt idx="2">
                  <c:v>75.739999999999995</c:v>
                </c:pt>
                <c:pt idx="3">
                  <c:v>75.98</c:v>
                </c:pt>
                <c:pt idx="4">
                  <c:v>76.23</c:v>
                </c:pt>
                <c:pt idx="5">
                  <c:v>76.459999999999994</c:v>
                </c:pt>
                <c:pt idx="6">
                  <c:v>76.69</c:v>
                </c:pt>
                <c:pt idx="7">
                  <c:v>76.91</c:v>
                </c:pt>
                <c:pt idx="8">
                  <c:v>77</c:v>
                </c:pt>
                <c:pt idx="9">
                  <c:v>77.14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2B-460C-9AB4-C47ACB004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824592"/>
        <c:axId val="670825072"/>
      </c:scatterChart>
      <c:valAx>
        <c:axId val="67082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0825072"/>
        <c:crosses val="autoZero"/>
        <c:crossBetween val="midCat"/>
      </c:valAx>
      <c:valAx>
        <c:axId val="6708250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08245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114300</xdr:rowOff>
    </xdr:from>
    <xdr:to>
      <xdr:col>11</xdr:col>
      <xdr:colOff>638175</xdr:colOff>
      <xdr:row>9</xdr:row>
      <xdr:rowOff>85726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2949EFD-88FB-AD43-032A-041B09B24006}"/>
            </a:ext>
          </a:extLst>
        </xdr:cNvPr>
        <xdr:cNvSpPr txBox="1"/>
      </xdr:nvSpPr>
      <xdr:spPr>
        <a:xfrm>
          <a:off x="4705350" y="304800"/>
          <a:ext cx="4953000" cy="1495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Estos</a:t>
          </a:r>
          <a:r>
            <a:rPr lang="es-MX" sz="1100" baseline="0"/>
            <a:t> datos son los parametros que nos da indicios de la </a:t>
          </a:r>
          <a:r>
            <a:rPr lang="es-MX" sz="1100" i="1" baseline="0"/>
            <a:t>"situacion poblacion" </a:t>
          </a:r>
          <a:r>
            <a:rPr lang="es-MX" sz="1100" i="0" baseline="0"/>
            <a:t>de un pais. Pero para las Regresion Lineal simple tendremos que:</a:t>
          </a:r>
        </a:p>
        <a:p>
          <a:endParaRPr lang="es-MX" sz="1100" i="0" baseline="0"/>
        </a:p>
        <a:p>
          <a:r>
            <a:rPr lang="es-MX" sz="1100" i="0" baseline="0"/>
            <a:t>- ESPERANZA DE VIDA (V.A. Dependiente)</a:t>
          </a:r>
        </a:p>
        <a:p>
          <a:r>
            <a:rPr lang="es-MX" sz="1100" i="0" baseline="0"/>
            <a:t>- IPC (V.A. Explicativa)</a:t>
          </a:r>
        </a:p>
        <a:p>
          <a:endParaRPr lang="es-MX" sz="1100" i="0" baseline="0"/>
        </a:p>
        <a:p>
          <a:r>
            <a:rPr lang="es-MX" sz="1100" i="0" baseline="0"/>
            <a:t>En tanto al excel puede hacerlos por medio de "analisis de los datos" pero solo se limita a los modelos mas simples....</a:t>
          </a:r>
          <a:endParaRPr lang="es-MX" sz="1100" i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104775</xdr:rowOff>
    </xdr:from>
    <xdr:to>
      <xdr:col>7</xdr:col>
      <xdr:colOff>234674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276C0D-FC4F-48F8-BF42-8154785E6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13803</xdr:colOff>
      <xdr:row>1</xdr:row>
      <xdr:rowOff>138045</xdr:rowOff>
    </xdr:from>
    <xdr:to>
      <xdr:col>19</xdr:col>
      <xdr:colOff>262283</xdr:colOff>
      <xdr:row>18</xdr:row>
      <xdr:rowOff>27608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875207-7A4A-40DB-B920-2063A4098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671444</xdr:colOff>
      <xdr:row>20</xdr:row>
      <xdr:rowOff>48453</xdr:rowOff>
    </xdr:from>
    <xdr:to>
      <xdr:col>16</xdr:col>
      <xdr:colOff>745435</xdr:colOff>
      <xdr:row>37</xdr:row>
      <xdr:rowOff>41413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C5B386-7D76-4E27-A62F-601A87B66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1" sqref="E1"/>
    </sheetView>
  </sheetViews>
  <sheetFormatPr baseColWidth="10" defaultRowHeight="15" x14ac:dyDescent="0.25"/>
  <cols>
    <col min="7" max="7" width="21" bestFit="1" customWidth="1"/>
  </cols>
  <sheetData>
    <row r="1" spans="1:5" x14ac:dyDescent="0.25">
      <c r="A1" t="s">
        <v>3</v>
      </c>
      <c r="B1" s="6" t="s">
        <v>0</v>
      </c>
      <c r="C1" t="s">
        <v>4</v>
      </c>
      <c r="D1" t="s">
        <v>1</v>
      </c>
      <c r="E1" s="8" t="s">
        <v>2</v>
      </c>
    </row>
    <row r="2" spans="1:5" x14ac:dyDescent="0.25">
      <c r="A2">
        <v>2004</v>
      </c>
      <c r="B2" s="7">
        <v>10860</v>
      </c>
      <c r="C2">
        <v>100381550</v>
      </c>
      <c r="D2" s="1">
        <v>770268000000</v>
      </c>
      <c r="E2" s="7">
        <v>75.239999999999995</v>
      </c>
    </row>
    <row r="3" spans="1:5" x14ac:dyDescent="0.25">
      <c r="A3">
        <v>2005</v>
      </c>
      <c r="B3" s="7">
        <v>11750</v>
      </c>
      <c r="C3">
        <v>110731826</v>
      </c>
      <c r="D3" s="1">
        <v>866346000000</v>
      </c>
      <c r="E3" s="7">
        <v>75.489999999999995</v>
      </c>
    </row>
    <row r="4" spans="1:5" x14ac:dyDescent="0.25">
      <c r="A4">
        <v>2006</v>
      </c>
      <c r="B4" s="7">
        <v>12840</v>
      </c>
      <c r="C4">
        <v>112116694</v>
      </c>
      <c r="D4" s="1">
        <v>966736000000</v>
      </c>
      <c r="E4" s="7">
        <v>75.739999999999995</v>
      </c>
    </row>
    <row r="5" spans="1:5" x14ac:dyDescent="0.25">
      <c r="A5">
        <v>2007</v>
      </c>
      <c r="B5" s="7">
        <v>13330</v>
      </c>
      <c r="C5">
        <v>115259819</v>
      </c>
      <c r="D5" s="1">
        <v>1043990000000</v>
      </c>
      <c r="E5" s="7">
        <v>75.98</v>
      </c>
    </row>
    <row r="6" spans="1:5" x14ac:dyDescent="0.25">
      <c r="A6">
        <v>2008</v>
      </c>
      <c r="B6" s="7">
        <v>14300</v>
      </c>
      <c r="C6">
        <v>114968309</v>
      </c>
      <c r="D6" s="1">
        <v>1090970000000</v>
      </c>
      <c r="E6" s="7">
        <v>76.23</v>
      </c>
    </row>
    <row r="7" spans="1:5" x14ac:dyDescent="0.25">
      <c r="A7">
        <v>2009</v>
      </c>
      <c r="B7" s="7">
        <v>13700</v>
      </c>
      <c r="C7">
        <v>116422752</v>
      </c>
      <c r="D7" s="1">
        <v>895312000000</v>
      </c>
      <c r="E7" s="7">
        <v>76.459999999999994</v>
      </c>
    </row>
    <row r="8" spans="1:5" x14ac:dyDescent="0.25">
      <c r="A8">
        <v>2010</v>
      </c>
      <c r="B8" s="7">
        <v>14500</v>
      </c>
      <c r="C8">
        <v>117386437</v>
      </c>
      <c r="D8" s="1">
        <v>1051630000000</v>
      </c>
      <c r="E8" s="7">
        <v>76.69</v>
      </c>
    </row>
    <row r="9" spans="1:5" x14ac:dyDescent="0.25">
      <c r="A9">
        <v>2011</v>
      </c>
      <c r="B9" s="7">
        <v>15650</v>
      </c>
      <c r="C9">
        <v>119361233</v>
      </c>
      <c r="D9" s="1">
        <v>1170090000000</v>
      </c>
      <c r="E9" s="7">
        <v>76.91</v>
      </c>
    </row>
    <row r="10" spans="1:5" x14ac:dyDescent="0.25">
      <c r="A10">
        <v>2012</v>
      </c>
      <c r="B10" s="7">
        <v>15910</v>
      </c>
      <c r="C10">
        <v>120847477</v>
      </c>
      <c r="D10" s="1">
        <v>1186460000000</v>
      </c>
      <c r="E10" s="7">
        <v>77.14</v>
      </c>
    </row>
    <row r="11" spans="1:5" x14ac:dyDescent="0.25">
      <c r="A11">
        <v>2013</v>
      </c>
      <c r="B11" s="7">
        <v>16110</v>
      </c>
      <c r="C11">
        <v>122332399</v>
      </c>
      <c r="D11" s="1">
        <v>1260910000000</v>
      </c>
      <c r="E11" s="7">
        <v>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F5E5-94DB-4935-9276-29CE823C4974}">
  <dimension ref="A1:I34"/>
  <sheetViews>
    <sheetView tabSelected="1" zoomScale="75" workbookViewId="0">
      <selection activeCell="D21" sqref="D21"/>
    </sheetView>
  </sheetViews>
  <sheetFormatPr baseColWidth="10" defaultRowHeight="15" x14ac:dyDescent="0.25"/>
  <cols>
    <col min="1" max="1" width="32.140625" bestFit="1" customWidth="1"/>
    <col min="2" max="2" width="18" bestFit="1" customWidth="1"/>
  </cols>
  <sheetData>
    <row r="1" spans="1:9" x14ac:dyDescent="0.25">
      <c r="A1" t="s">
        <v>5</v>
      </c>
    </row>
    <row r="2" spans="1:9" ht="15.75" thickBot="1" x14ac:dyDescent="0.3"/>
    <row r="3" spans="1:9" x14ac:dyDescent="0.25">
      <c r="A3" s="5" t="s">
        <v>6</v>
      </c>
      <c r="B3" s="5"/>
    </row>
    <row r="4" spans="1:9" x14ac:dyDescent="0.25">
      <c r="A4" s="2" t="s">
        <v>7</v>
      </c>
      <c r="B4" s="2">
        <v>0.97455634147878722</v>
      </c>
    </row>
    <row r="5" spans="1:9" x14ac:dyDescent="0.25">
      <c r="A5" s="2" t="s">
        <v>8</v>
      </c>
      <c r="B5" s="2">
        <v>0.94976006271651858</v>
      </c>
    </row>
    <row r="6" spans="1:9" x14ac:dyDescent="0.25">
      <c r="A6" s="2" t="s">
        <v>9</v>
      </c>
      <c r="B6" s="2">
        <v>0.94348007055608329</v>
      </c>
    </row>
    <row r="7" spans="1:9" x14ac:dyDescent="0.25">
      <c r="A7" s="2" t="s">
        <v>10</v>
      </c>
      <c r="B7" s="2">
        <v>0.15739061559180176</v>
      </c>
    </row>
    <row r="8" spans="1:9" ht="15.75" thickBot="1" x14ac:dyDescent="0.3">
      <c r="A8" s="3" t="s">
        <v>11</v>
      </c>
      <c r="B8" s="3">
        <v>10</v>
      </c>
    </row>
    <row r="10" spans="1:9" ht="15.75" thickBot="1" x14ac:dyDescent="0.3">
      <c r="A10" t="s">
        <v>12</v>
      </c>
    </row>
    <row r="11" spans="1:9" x14ac:dyDescent="0.25">
      <c r="A11" s="4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</row>
    <row r="12" spans="1:9" x14ac:dyDescent="0.25">
      <c r="A12" s="2" t="s">
        <v>13</v>
      </c>
      <c r="B12" s="2">
        <v>1</v>
      </c>
      <c r="C12" s="2">
        <v>3.7463855529890839</v>
      </c>
      <c r="D12" s="2">
        <v>3.7463855529890839</v>
      </c>
      <c r="E12" s="2">
        <v>151.2358675700485</v>
      </c>
      <c r="F12" s="2">
        <v>1.7781731458683516E-6</v>
      </c>
    </row>
    <row r="13" spans="1:9" x14ac:dyDescent="0.25">
      <c r="A13" s="2" t="s">
        <v>14</v>
      </c>
      <c r="B13" s="2">
        <v>8</v>
      </c>
      <c r="C13" s="2">
        <v>0.19817444701093045</v>
      </c>
      <c r="D13" s="2">
        <v>2.4771805876366307E-2</v>
      </c>
      <c r="E13" s="2"/>
      <c r="F13" s="2"/>
    </row>
    <row r="14" spans="1:9" ht="15.75" thickBot="1" x14ac:dyDescent="0.3">
      <c r="A14" s="3" t="s">
        <v>15</v>
      </c>
      <c r="B14" s="3">
        <v>9</v>
      </c>
      <c r="C14" s="3">
        <v>3.9445600000000143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22</v>
      </c>
      <c r="C16" s="4" t="s">
        <v>10</v>
      </c>
      <c r="D16" s="4" t="s">
        <v>23</v>
      </c>
      <c r="E16" s="4" t="s">
        <v>24</v>
      </c>
      <c r="F16" s="4" t="s">
        <v>25</v>
      </c>
      <c r="G16" s="4" t="s">
        <v>26</v>
      </c>
      <c r="H16" s="4" t="s">
        <v>27</v>
      </c>
      <c r="I16" s="4" t="s">
        <v>28</v>
      </c>
    </row>
    <row r="17" spans="1:9" x14ac:dyDescent="0.25">
      <c r="A17" s="2" t="s">
        <v>16</v>
      </c>
      <c r="B17" s="2">
        <v>71.192560672384701</v>
      </c>
      <c r="C17" s="2">
        <v>0.41731611339575153</v>
      </c>
      <c r="D17" s="2">
        <v>170.5962420024529</v>
      </c>
      <c r="E17" s="2">
        <v>1.5596696769819077E-15</v>
      </c>
      <c r="F17" s="2">
        <v>70.230227989206767</v>
      </c>
      <c r="G17" s="2">
        <v>72.154893355562635</v>
      </c>
      <c r="H17" s="2">
        <v>70.230227989206767</v>
      </c>
      <c r="I17" s="2">
        <v>72.154893355562635</v>
      </c>
    </row>
    <row r="18" spans="1:9" ht="15.75" thickBot="1" x14ac:dyDescent="0.3">
      <c r="A18" s="3" t="s">
        <v>29</v>
      </c>
      <c r="B18" s="3">
        <v>3.6671027906551106E-4</v>
      </c>
      <c r="C18" s="3">
        <v>2.9819179040416272E-5</v>
      </c>
      <c r="D18" s="3">
        <v>12.297799297843843</v>
      </c>
      <c r="E18" s="3">
        <v>1.7781731458683516E-6</v>
      </c>
      <c r="F18" s="3">
        <v>2.9794712888991774E-4</v>
      </c>
      <c r="G18" s="3">
        <v>4.3547342924110438E-4</v>
      </c>
      <c r="H18" s="3">
        <v>2.9794712888991774E-4</v>
      </c>
      <c r="I18" s="3">
        <v>4.3547342924110438E-4</v>
      </c>
    </row>
    <row r="22" spans="1:9" x14ac:dyDescent="0.25">
      <c r="A22" t="s">
        <v>30</v>
      </c>
      <c r="F22" t="s">
        <v>34</v>
      </c>
    </row>
    <row r="23" spans="1:9" ht="15.75" thickBot="1" x14ac:dyDescent="0.3"/>
    <row r="24" spans="1:9" x14ac:dyDescent="0.25">
      <c r="A24" s="4" t="s">
        <v>31</v>
      </c>
      <c r="B24" s="4" t="s">
        <v>32</v>
      </c>
      <c r="C24" s="4" t="s">
        <v>14</v>
      </c>
      <c r="D24" s="4" t="s">
        <v>33</v>
      </c>
      <c r="F24" s="4" t="s">
        <v>35</v>
      </c>
      <c r="G24" s="4" t="s">
        <v>36</v>
      </c>
    </row>
    <row r="25" spans="1:9" x14ac:dyDescent="0.25">
      <c r="A25" s="2">
        <v>1</v>
      </c>
      <c r="B25" s="2">
        <v>75.175034303036156</v>
      </c>
      <c r="C25" s="2">
        <v>6.4965696963838582E-2</v>
      </c>
      <c r="D25" s="2">
        <v>0.43780581861483453</v>
      </c>
      <c r="F25" s="2">
        <v>5</v>
      </c>
      <c r="G25" s="2">
        <v>75.239999999999995</v>
      </c>
    </row>
    <row r="26" spans="1:9" x14ac:dyDescent="0.25">
      <c r="A26" s="2">
        <v>2</v>
      </c>
      <c r="B26" s="2">
        <v>75.501406451404449</v>
      </c>
      <c r="C26" s="2">
        <v>-1.1406451404454288E-2</v>
      </c>
      <c r="D26" s="2">
        <v>-7.6868424845762978E-2</v>
      </c>
      <c r="F26" s="2">
        <v>15</v>
      </c>
      <c r="G26" s="2">
        <v>75.489999999999995</v>
      </c>
    </row>
    <row r="27" spans="1:9" x14ac:dyDescent="0.25">
      <c r="A27" s="2">
        <v>3</v>
      </c>
      <c r="B27" s="2">
        <v>75.901120655585856</v>
      </c>
      <c r="C27" s="2">
        <v>-0.16112065558586153</v>
      </c>
      <c r="D27" s="2">
        <v>-1.0857970253715723</v>
      </c>
      <c r="F27" s="2">
        <v>25</v>
      </c>
      <c r="G27" s="2">
        <v>75.739999999999995</v>
      </c>
    </row>
    <row r="28" spans="1:9" x14ac:dyDescent="0.25">
      <c r="A28" s="2">
        <v>4</v>
      </c>
      <c r="B28" s="2">
        <v>76.080808692327963</v>
      </c>
      <c r="C28" s="2">
        <v>-0.10080869232795919</v>
      </c>
      <c r="D28" s="2">
        <v>-0.67935286052113819</v>
      </c>
      <c r="F28" s="2">
        <v>35</v>
      </c>
      <c r="G28" s="2">
        <v>75.98</v>
      </c>
    </row>
    <row r="29" spans="1:9" x14ac:dyDescent="0.25">
      <c r="A29" s="2">
        <v>5</v>
      </c>
      <c r="B29" s="2">
        <v>76.436517663021505</v>
      </c>
      <c r="C29" s="2">
        <v>-0.20651766302150065</v>
      </c>
      <c r="D29" s="2">
        <v>-1.3917288468078397</v>
      </c>
      <c r="F29" s="2">
        <v>45</v>
      </c>
      <c r="G29" s="2">
        <v>76.23</v>
      </c>
    </row>
    <row r="30" spans="1:9" x14ac:dyDescent="0.25">
      <c r="A30" s="2">
        <v>6</v>
      </c>
      <c r="B30" s="2">
        <v>76.216491495582204</v>
      </c>
      <c r="C30" s="2">
        <v>0.2435085044177896</v>
      </c>
      <c r="D30" s="2">
        <v>1.6410112582282572</v>
      </c>
      <c r="F30" s="2">
        <v>55</v>
      </c>
      <c r="G30" s="2">
        <v>76.459999999999994</v>
      </c>
    </row>
    <row r="31" spans="1:9" x14ac:dyDescent="0.25">
      <c r="A31" s="2">
        <v>7</v>
      </c>
      <c r="B31" s="2">
        <v>76.509859718834605</v>
      </c>
      <c r="C31" s="2">
        <v>0.18014028116539293</v>
      </c>
      <c r="D31" s="2">
        <v>1.2139708638086377</v>
      </c>
      <c r="F31" s="2">
        <v>65</v>
      </c>
      <c r="G31" s="2">
        <v>76.69</v>
      </c>
    </row>
    <row r="32" spans="1:9" x14ac:dyDescent="0.25">
      <c r="A32" s="2">
        <v>8</v>
      </c>
      <c r="B32" s="2">
        <v>76.931576539759945</v>
      </c>
      <c r="C32" s="2">
        <v>-2.1576539759948332E-2</v>
      </c>
      <c r="D32" s="2">
        <v>-0.14540496129423125</v>
      </c>
      <c r="F32" s="2">
        <v>75</v>
      </c>
      <c r="G32" s="2">
        <v>76.91</v>
      </c>
    </row>
    <row r="33" spans="1:7" x14ac:dyDescent="0.25">
      <c r="A33" s="2">
        <v>9</v>
      </c>
      <c r="B33" s="2">
        <v>77.026921212316978</v>
      </c>
      <c r="C33" s="2">
        <v>0.1130787876830226</v>
      </c>
      <c r="D33" s="2">
        <v>0.76204140836194334</v>
      </c>
      <c r="F33" s="2">
        <v>85</v>
      </c>
      <c r="G33" s="2">
        <v>77</v>
      </c>
    </row>
    <row r="34" spans="1:7" ht="15.75" thickBot="1" x14ac:dyDescent="0.3">
      <c r="A34" s="3">
        <v>10</v>
      </c>
      <c r="B34" s="3">
        <v>77.100263268130078</v>
      </c>
      <c r="C34" s="3">
        <v>-0.10026326813007813</v>
      </c>
      <c r="D34" s="3">
        <v>-0.67567723017150039</v>
      </c>
      <c r="F34" s="3">
        <v>95</v>
      </c>
      <c r="G34" s="3">
        <v>77.14</v>
      </c>
    </row>
  </sheetData>
  <sortState xmlns:xlrd2="http://schemas.microsoft.com/office/spreadsheetml/2017/richdata2" ref="G25:G34">
    <sortCondition ref="G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94EC-9803-4CD2-B7DF-02F5EACA4F92}">
  <dimension ref="A1"/>
  <sheetViews>
    <sheetView topLeftCell="A10" zoomScale="69" workbookViewId="0">
      <selection activeCell="T29" sqref="T2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Summery</vt:lpstr>
      <vt:lpstr>Graficas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MENDIETA LOPEZ</dc:creator>
  <cp:lastModifiedBy>DAVID MENDIETA LOPEZ</cp:lastModifiedBy>
  <dcterms:created xsi:type="dcterms:W3CDTF">2025-04-23T06:06:42Z</dcterms:created>
  <dcterms:modified xsi:type="dcterms:W3CDTF">2025-05-11T02:09:07Z</dcterms:modified>
</cp:coreProperties>
</file>