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Biblioteca\Descargas\Diplomado_1\Modulos\3_Regresion_Series Tiempo (LEONARDO ROMÁN)\Notas_Programable\"/>
    </mc:Choice>
  </mc:AlternateContent>
  <xr:revisionPtr revIDLastSave="0" documentId="13_ncr:1_{A742B6B8-17D9-4588-AADE-28C188CD17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<sst xmlns="http://schemas.openxmlformats.org/spreadsheetml/2006/main" count="7" uniqueCount="7">
  <si>
    <t>Reduc_solidos</t>
  </si>
  <si>
    <t>Red_deman_oxig%</t>
  </si>
  <si>
    <t>Diferencia (di)</t>
  </si>
  <si>
    <t>di^2</t>
  </si>
  <si>
    <t>Suma di^2</t>
  </si>
  <si>
    <t>n</t>
  </si>
  <si>
    <t>r_p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</si>
</sst>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0</xdr:row>
      <xdr:rowOff>171450</xdr:rowOff>
    </xdr:from>
    <xdr:to>
      <xdr:col>15</xdr:col>
      <xdr:colOff>238125</xdr:colOff>
      <xdr:row>2</xdr:row>
      <xdr:rowOff>28575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6A13382-F441-1B69-7331-9FBE94BC4E25}"/>
            </a:ext>
          </a:extLst>
        </xdr:cNvPr>
        <xdr:cNvSpPr txBox="1"/>
      </xdr:nvSpPr>
      <xdr:spPr>
        <a:xfrm>
          <a:off x="4314825" y="1695450"/>
          <a:ext cx="4953000" cy="23812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Recordemos que el</a:t>
          </a:r>
          <a:r>
            <a:rPr lang="es-MX" sz="1100" baseline="0"/>
            <a:t> coeficiente de correlacion de Spearman se define de la forma: </a:t>
          </a:r>
        </a:p>
        <a:p>
          <a:endParaRPr lang="es-MX" sz="1100" baseline="0"/>
        </a:p>
        <a:p>
          <a:endParaRPr lang="es-MX" sz="1100"/>
        </a:p>
      </xdr:txBody>
    </xdr:sp>
    <xdr:clientData/>
  </xdr:twoCellAnchor>
  <xdr:twoCellAnchor editAs="oneCell">
    <xdr:from>
      <xdr:col>8</xdr:col>
      <xdr:colOff>342900</xdr:colOff>
      <xdr:row>3</xdr:row>
      <xdr:rowOff>133350</xdr:rowOff>
    </xdr:from>
    <xdr:to>
      <xdr:col>12</xdr:col>
      <xdr:colOff>400388</xdr:colOff>
      <xdr:row>6</xdr:row>
      <xdr:rowOff>104851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ED82D-4A80-A135-2E87-A8F08D251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2550" y="2228850"/>
          <a:ext cx="2419688" cy="543001"/>
        </a:xfrm>
        <a:prstGeom prst="rect">
          <a:avLst/>
        </a:prstGeom>
      </xdr:spPr>
    </xdr:pic>
    <xdr:clientData/>
  </xdr:twoCellAnchor>
  <xdr:twoCellAnchor>
    <xdr:from>
      <xdr:col>13</xdr:col>
      <xdr:colOff>66675</xdr:colOff>
      <xdr:row>3</xdr:row>
      <xdr:rowOff>76200</xdr:rowOff>
    </xdr:from>
    <xdr:to>
      <xdr:col>16</xdr:col>
      <xdr:colOff>19050</xdr:colOff>
      <xdr:row>6</xdr:row>
      <xdr:rowOff>28575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42FD079-7A42-4CB1-B029-3B01E556A624}"/>
            </a:ext>
          </a:extLst>
        </xdr:cNvPr>
        <xdr:cNvSpPr txBox="1"/>
      </xdr:nvSpPr>
      <xdr:spPr>
        <a:xfrm>
          <a:off x="7915275" y="2171700"/>
          <a:ext cx="1724025" cy="52387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aseline="0"/>
            <a:t>Veamos como se desarrolla este termino.</a:t>
          </a:r>
        </a:p>
        <a:p>
          <a:pPr algn="ctr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J13" sqref="J13"/>
    </sheetView>
  </sheetViews>
  <sheetFormatPr baseColWidth="10" defaultColWidth="8.85546875" defaultRowHeight="15" x14ac:dyDescent="0.25"/>
  <cols>
    <col min="1" max="1" width="13.7109375" bestFit="1" customWidth="1"/>
    <col min="2" max="3" width="18" bestFit="1" customWidth="1"/>
    <col min="4" max="4" width="13.7109375" bestFit="1" customWidth="1"/>
    <col min="6" max="6" width="10" bestFit="1" customWidth="1"/>
  </cols>
  <sheetData>
    <row r="1" spans="1:7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7" x14ac:dyDescent="0.25">
      <c r="A2">
        <v>3</v>
      </c>
      <c r="B2">
        <v>5</v>
      </c>
      <c r="C2" s="1">
        <f xml:space="preserve"> A2 - B2</f>
        <v>-2</v>
      </c>
      <c r="D2" s="1">
        <f xml:space="preserve"> C2^2</f>
        <v>4</v>
      </c>
      <c r="F2" s="3" t="s">
        <v>4</v>
      </c>
      <c r="G2">
        <f xml:space="preserve"> SUM(D2:D34)</f>
        <v>374</v>
      </c>
    </row>
    <row r="3" spans="1:7" x14ac:dyDescent="0.25">
      <c r="A3">
        <v>7</v>
      </c>
      <c r="B3">
        <v>11</v>
      </c>
      <c r="C3" s="1">
        <f t="shared" ref="C3:C34" si="0" xml:space="preserve"> A3 - B3</f>
        <v>-4</v>
      </c>
      <c r="D3" s="1">
        <f t="shared" ref="D3:D34" si="1" xml:space="preserve"> C3^2</f>
        <v>16</v>
      </c>
    </row>
    <row r="4" spans="1:7" x14ac:dyDescent="0.25">
      <c r="A4">
        <v>11</v>
      </c>
      <c r="B4">
        <v>21</v>
      </c>
      <c r="C4" s="1">
        <f t="shared" si="0"/>
        <v>-10</v>
      </c>
      <c r="D4" s="1">
        <f t="shared" si="1"/>
        <v>100</v>
      </c>
      <c r="F4" s="3" t="s">
        <v>5</v>
      </c>
      <c r="G4">
        <v>33</v>
      </c>
    </row>
    <row r="5" spans="1:7" x14ac:dyDescent="0.25">
      <c r="A5">
        <v>15</v>
      </c>
      <c r="B5">
        <v>16</v>
      </c>
      <c r="C5" s="1">
        <f t="shared" si="0"/>
        <v>-1</v>
      </c>
      <c r="D5" s="1">
        <f t="shared" si="1"/>
        <v>1</v>
      </c>
    </row>
    <row r="6" spans="1:7" x14ac:dyDescent="0.25">
      <c r="A6">
        <v>18</v>
      </c>
      <c r="B6">
        <v>16</v>
      </c>
      <c r="C6" s="1">
        <f t="shared" si="0"/>
        <v>2</v>
      </c>
      <c r="D6" s="1">
        <f t="shared" si="1"/>
        <v>4</v>
      </c>
      <c r="F6" s="4" t="s">
        <v>6</v>
      </c>
      <c r="G6">
        <f xml:space="preserve"> 1 - ((6 * G2))/ (G4*(G4^2 - 1))</f>
        <v>0.9375</v>
      </c>
    </row>
    <row r="7" spans="1:7" x14ac:dyDescent="0.25">
      <c r="A7">
        <v>27</v>
      </c>
      <c r="B7">
        <v>28</v>
      </c>
      <c r="C7" s="1">
        <f t="shared" si="0"/>
        <v>-1</v>
      </c>
      <c r="D7" s="1">
        <f t="shared" si="1"/>
        <v>1</v>
      </c>
    </row>
    <row r="8" spans="1:7" x14ac:dyDescent="0.25">
      <c r="A8">
        <v>29</v>
      </c>
      <c r="B8">
        <v>27</v>
      </c>
      <c r="C8" s="1">
        <f t="shared" si="0"/>
        <v>2</v>
      </c>
      <c r="D8" s="1">
        <f t="shared" si="1"/>
        <v>4</v>
      </c>
    </row>
    <row r="9" spans="1:7" x14ac:dyDescent="0.25">
      <c r="A9">
        <v>30</v>
      </c>
      <c r="B9">
        <v>25</v>
      </c>
      <c r="C9" s="1">
        <f t="shared" si="0"/>
        <v>5</v>
      </c>
      <c r="D9" s="1">
        <f t="shared" si="1"/>
        <v>25</v>
      </c>
    </row>
    <row r="10" spans="1:7" x14ac:dyDescent="0.25">
      <c r="A10">
        <v>30</v>
      </c>
      <c r="B10">
        <v>35</v>
      </c>
      <c r="C10" s="1">
        <f t="shared" si="0"/>
        <v>-5</v>
      </c>
      <c r="D10" s="1">
        <f t="shared" si="1"/>
        <v>25</v>
      </c>
    </row>
    <row r="11" spans="1:7" x14ac:dyDescent="0.25">
      <c r="A11">
        <v>31</v>
      </c>
      <c r="B11">
        <v>30</v>
      </c>
      <c r="C11" s="1">
        <f t="shared" si="0"/>
        <v>1</v>
      </c>
      <c r="D11" s="1">
        <f t="shared" si="1"/>
        <v>1</v>
      </c>
    </row>
    <row r="12" spans="1:7" x14ac:dyDescent="0.25">
      <c r="A12">
        <v>31</v>
      </c>
      <c r="B12">
        <v>40</v>
      </c>
      <c r="C12" s="1">
        <f t="shared" si="0"/>
        <v>-9</v>
      </c>
      <c r="D12" s="1">
        <f t="shared" si="1"/>
        <v>81</v>
      </c>
    </row>
    <row r="13" spans="1:7" x14ac:dyDescent="0.25">
      <c r="A13">
        <v>32</v>
      </c>
      <c r="B13">
        <v>32</v>
      </c>
      <c r="C13" s="1">
        <f t="shared" si="0"/>
        <v>0</v>
      </c>
      <c r="D13" s="1">
        <f t="shared" si="1"/>
        <v>0</v>
      </c>
    </row>
    <row r="14" spans="1:7" x14ac:dyDescent="0.25">
      <c r="A14">
        <v>33</v>
      </c>
      <c r="B14">
        <v>34</v>
      </c>
      <c r="C14" s="1">
        <f t="shared" si="0"/>
        <v>-1</v>
      </c>
      <c r="D14" s="1">
        <f t="shared" si="1"/>
        <v>1</v>
      </c>
    </row>
    <row r="15" spans="1:7" x14ac:dyDescent="0.25">
      <c r="A15">
        <v>33</v>
      </c>
      <c r="B15">
        <v>32</v>
      </c>
      <c r="C15" s="1">
        <f t="shared" si="0"/>
        <v>1</v>
      </c>
      <c r="D15" s="1">
        <f t="shared" si="1"/>
        <v>1</v>
      </c>
    </row>
    <row r="16" spans="1:7" x14ac:dyDescent="0.25">
      <c r="A16">
        <v>34</v>
      </c>
      <c r="B16">
        <v>34</v>
      </c>
      <c r="C16" s="1">
        <f t="shared" si="0"/>
        <v>0</v>
      </c>
      <c r="D16" s="1">
        <f t="shared" si="1"/>
        <v>0</v>
      </c>
    </row>
    <row r="17" spans="1:4" x14ac:dyDescent="0.25">
      <c r="A17">
        <v>36</v>
      </c>
      <c r="B17">
        <v>37</v>
      </c>
      <c r="C17" s="1">
        <f t="shared" si="0"/>
        <v>-1</v>
      </c>
      <c r="D17" s="1">
        <f t="shared" si="1"/>
        <v>1</v>
      </c>
    </row>
    <row r="18" spans="1:4" x14ac:dyDescent="0.25">
      <c r="A18">
        <v>36</v>
      </c>
      <c r="B18">
        <v>38</v>
      </c>
      <c r="C18" s="1">
        <f t="shared" si="0"/>
        <v>-2</v>
      </c>
      <c r="D18" s="1">
        <f t="shared" si="1"/>
        <v>4</v>
      </c>
    </row>
    <row r="19" spans="1:4" x14ac:dyDescent="0.25">
      <c r="A19">
        <v>36</v>
      </c>
      <c r="B19">
        <v>34</v>
      </c>
      <c r="C19" s="1">
        <f t="shared" si="0"/>
        <v>2</v>
      </c>
      <c r="D19" s="1">
        <f t="shared" si="1"/>
        <v>4</v>
      </c>
    </row>
    <row r="20" spans="1:4" x14ac:dyDescent="0.25">
      <c r="A20">
        <v>37</v>
      </c>
      <c r="B20">
        <v>36</v>
      </c>
      <c r="C20" s="1">
        <f t="shared" si="0"/>
        <v>1</v>
      </c>
      <c r="D20" s="1">
        <f t="shared" si="1"/>
        <v>1</v>
      </c>
    </row>
    <row r="21" spans="1:4" x14ac:dyDescent="0.25">
      <c r="A21">
        <v>38</v>
      </c>
      <c r="B21">
        <v>38</v>
      </c>
      <c r="C21" s="1">
        <f t="shared" si="0"/>
        <v>0</v>
      </c>
      <c r="D21" s="1">
        <f t="shared" si="1"/>
        <v>0</v>
      </c>
    </row>
    <row r="22" spans="1:4" x14ac:dyDescent="0.25">
      <c r="A22">
        <v>39</v>
      </c>
      <c r="B22">
        <v>37</v>
      </c>
      <c r="C22" s="1">
        <f t="shared" si="0"/>
        <v>2</v>
      </c>
      <c r="D22" s="1">
        <f t="shared" si="1"/>
        <v>4</v>
      </c>
    </row>
    <row r="23" spans="1:4" x14ac:dyDescent="0.25">
      <c r="A23">
        <v>39</v>
      </c>
      <c r="B23">
        <v>36</v>
      </c>
      <c r="C23" s="1">
        <f t="shared" si="0"/>
        <v>3</v>
      </c>
      <c r="D23" s="1">
        <f t="shared" si="1"/>
        <v>9</v>
      </c>
    </row>
    <row r="24" spans="1:4" x14ac:dyDescent="0.25">
      <c r="A24">
        <v>39</v>
      </c>
      <c r="B24">
        <v>45</v>
      </c>
      <c r="C24" s="1">
        <f t="shared" si="0"/>
        <v>-6</v>
      </c>
      <c r="D24" s="1">
        <f t="shared" si="1"/>
        <v>36</v>
      </c>
    </row>
    <row r="25" spans="1:4" x14ac:dyDescent="0.25">
      <c r="A25">
        <v>40</v>
      </c>
      <c r="B25">
        <v>39</v>
      </c>
      <c r="C25" s="1">
        <f t="shared" si="0"/>
        <v>1</v>
      </c>
      <c r="D25" s="1">
        <f t="shared" si="1"/>
        <v>1</v>
      </c>
    </row>
    <row r="26" spans="1:4" x14ac:dyDescent="0.25">
      <c r="A26">
        <v>41</v>
      </c>
      <c r="B26">
        <v>41</v>
      </c>
      <c r="C26" s="1">
        <f t="shared" si="0"/>
        <v>0</v>
      </c>
      <c r="D26" s="1">
        <f t="shared" si="1"/>
        <v>0</v>
      </c>
    </row>
    <row r="27" spans="1:4" x14ac:dyDescent="0.25">
      <c r="A27">
        <v>42</v>
      </c>
      <c r="B27">
        <v>40</v>
      </c>
      <c r="C27" s="1">
        <f t="shared" si="0"/>
        <v>2</v>
      </c>
      <c r="D27" s="1">
        <f t="shared" si="1"/>
        <v>4</v>
      </c>
    </row>
    <row r="28" spans="1:4" x14ac:dyDescent="0.25">
      <c r="A28">
        <v>42</v>
      </c>
      <c r="B28">
        <v>44</v>
      </c>
      <c r="C28" s="1">
        <f t="shared" si="0"/>
        <v>-2</v>
      </c>
      <c r="D28" s="1">
        <f t="shared" si="1"/>
        <v>4</v>
      </c>
    </row>
    <row r="29" spans="1:4" x14ac:dyDescent="0.25">
      <c r="A29">
        <v>43</v>
      </c>
      <c r="B29">
        <v>37</v>
      </c>
      <c r="C29" s="1">
        <f t="shared" si="0"/>
        <v>6</v>
      </c>
      <c r="D29" s="1">
        <f t="shared" si="1"/>
        <v>36</v>
      </c>
    </row>
    <row r="30" spans="1:4" x14ac:dyDescent="0.25">
      <c r="A30">
        <v>44</v>
      </c>
      <c r="B30">
        <v>44</v>
      </c>
      <c r="C30" s="1">
        <f t="shared" si="0"/>
        <v>0</v>
      </c>
      <c r="D30" s="1">
        <f t="shared" si="1"/>
        <v>0</v>
      </c>
    </row>
    <row r="31" spans="1:4" x14ac:dyDescent="0.25">
      <c r="A31">
        <v>45</v>
      </c>
      <c r="B31">
        <v>46</v>
      </c>
      <c r="C31" s="1">
        <f t="shared" si="0"/>
        <v>-1</v>
      </c>
      <c r="D31" s="1">
        <f t="shared" si="1"/>
        <v>1</v>
      </c>
    </row>
    <row r="32" spans="1:4" x14ac:dyDescent="0.25">
      <c r="A32">
        <v>46</v>
      </c>
      <c r="B32">
        <v>46</v>
      </c>
      <c r="C32" s="1">
        <f t="shared" si="0"/>
        <v>0</v>
      </c>
      <c r="D32" s="1">
        <f t="shared" si="1"/>
        <v>0</v>
      </c>
    </row>
    <row r="33" spans="1:4" x14ac:dyDescent="0.25">
      <c r="A33">
        <v>47</v>
      </c>
      <c r="B33">
        <v>49</v>
      </c>
      <c r="C33" s="1">
        <f t="shared" si="0"/>
        <v>-2</v>
      </c>
      <c r="D33" s="1">
        <f t="shared" si="1"/>
        <v>4</v>
      </c>
    </row>
    <row r="34" spans="1:4" x14ac:dyDescent="0.25">
      <c r="A34">
        <v>50</v>
      </c>
      <c r="B34">
        <v>51</v>
      </c>
      <c r="C34" s="1">
        <f t="shared" si="0"/>
        <v>-1</v>
      </c>
      <c r="D34" s="1">
        <f t="shared" si="1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Olmedo García</dc:creator>
  <cp:lastModifiedBy>DAVID MENDIETA LOPEZ</cp:lastModifiedBy>
  <dcterms:created xsi:type="dcterms:W3CDTF">2015-06-05T18:19:34Z</dcterms:created>
  <dcterms:modified xsi:type="dcterms:W3CDTF">2025-04-20T20:03:00Z</dcterms:modified>
</cp:coreProperties>
</file>